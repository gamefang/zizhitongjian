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<sst xmlns="http://schemas.openxmlformats.org/spreadsheetml/2006/main" count="565" uniqueCount="559">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</sst>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1678165"/>
        <c:axId val="70170856"/>
      </c:scatterChart>
      <c:valAx>
        <c:axId val="16781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0170856"/>
        <c:crosses val="autoZero"/>
        <c:crossBetween val="midCat"/>
      </c:valAx>
      <c:valAx>
        <c:axId val="70170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6781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644760</xdr:colOff>
      <xdr:row>24</xdr:row>
      <xdr:rowOff>203400</xdr:rowOff>
    </xdr:to>
    <xdr:graphicFrame>
      <xdr:nvGraphicFramePr>
        <xdr:cNvPr id="0" name="图表 3"/>
        <xdr:cNvGraphicFramePr/>
      </xdr:nvGraphicFramePr>
      <xdr:xfrm>
        <a:off x="7869960" y="2651760"/>
        <a:ext cx="4551480" cy="2736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2" activePane="bottomLeft" state="frozen"/>
      <selection pane="topLeft" activeCell="A1" activeCellId="0" sqref="A1"/>
      <selection pane="bottomLeft" activeCell="D142" activeCellId="0" sqref="D142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786.927536231884</v>
      </c>
      <c r="P2" s="2" t="n">
        <f aca="false">$C$2+O2</f>
        <v>44805.9275362319</v>
      </c>
      <c r="Q2" s="1" t="n">
        <f aca="false">(M2-$F$2)*$L$11</f>
        <v>1311.36767584</v>
      </c>
      <c r="R2" s="2" t="n">
        <f aca="false">$C$2+Q2</f>
        <v>45330.36767584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902.652173913043</v>
      </c>
      <c r="P3" s="2" t="n">
        <f aca="false">$C$2+O3</f>
        <v>44921.652173913</v>
      </c>
      <c r="Q3" s="1" t="n">
        <f aca="false">(M3-$F$2)*$L$11</f>
        <v>1437.66311813599</v>
      </c>
      <c r="R3" s="2" t="n">
        <f aca="false">$C$2+Q3</f>
        <v>45456.663118136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1365.55072463768</v>
      </c>
      <c r="P4" s="2" t="n">
        <f aca="false">$C$2+O4</f>
        <v>45384.5507246377</v>
      </c>
      <c r="Q4" s="1" t="n">
        <f aca="false">(M4-$F$2)*$L$11</f>
        <v>1732.3524834933</v>
      </c>
      <c r="R4" s="2" t="n">
        <f aca="false">$C$2+Q4</f>
        <v>45751.3524834933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2036.75362318841</v>
      </c>
      <c r="P5" s="2" t="n">
        <f aca="false">$C$2+O5</f>
        <v>46055.7536231884</v>
      </c>
      <c r="Q5" s="1" t="n">
        <f aca="false">(M5-$F$2)*$L$11</f>
        <v>2088.08464596033</v>
      </c>
      <c r="R5" s="2" t="n">
        <f aca="false">$C$2+Q5</f>
        <v>46107.0846459603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3066.70289855072</v>
      </c>
      <c r="P6" s="2" t="n">
        <f aca="false">$C$2+O6</f>
        <v>47085.7028985507</v>
      </c>
      <c r="Q6" s="1" t="n">
        <f aca="false">(M6-$F$2)*$L$11</f>
        <v>2757.45049012906</v>
      </c>
      <c r="R6" s="2" t="n">
        <f aca="false">$C$2+Q6</f>
        <v>46776.4504901291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3402.30434782609</v>
      </c>
      <c r="P7" s="2" t="n">
        <f aca="false">$C$2+O7</f>
        <v>47421.3043478261</v>
      </c>
      <c r="Q7" s="1" t="n">
        <f aca="false">(M7-$F$2)*$L$11</f>
        <v>2866.90654011892</v>
      </c>
      <c r="R7" s="2" t="n">
        <f aca="false">$C$2+Q7</f>
        <v>46885.9065401189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3402.30434782609</v>
      </c>
      <c r="P8" s="2" t="n">
        <f aca="false">$C$2+O8</f>
        <v>47421.3043478261</v>
      </c>
      <c r="Q8" s="1" t="n">
        <f aca="false">(M8-$F$2)*$L$11</f>
        <v>2866.90654011892</v>
      </c>
      <c r="R8" s="2" t="n">
        <f aca="false">$C$2+Q8</f>
        <v>46885.9065401189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11.5724637681159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2.10492403826646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3.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3.5" hidden="false" customHeight="false" outlineLevel="0" collapsed="false">
      <c r="A140" s="1" t="n">
        <v>1005</v>
      </c>
      <c r="B140" s="1" t="e">
        <f aca="false">VLOOKUP($A140,統計!$A:$G,2,)</f>
        <v>#N/A</v>
      </c>
      <c r="C140" s="1" t="s">
        <v>380</v>
      </c>
      <c r="D140" s="1" t="e">
        <f aca="false">VLOOKUP($A140,統計!$A:$G,6,)</f>
        <v>#N/A</v>
      </c>
      <c r="E140" s="1" t="e">
        <f aca="false">VLOOKUP($A140,統計!$A:$G,7,)</f>
        <v>#N/A</v>
      </c>
      <c r="I140" s="1" t="e">
        <f aca="false">A140&amp;"|"&amp;"["&amp;B140&amp;"](9_筆記/资治通鉴"&amp;SUBSTITUTE(B140,"卷","")&amp;".html)|"&amp;C140&amp;"|"&amp;D140&amp;"|"&amp;E140&amp;"|"&amp;H140</f>
        <v>#N/A</v>
      </c>
    </row>
    <row r="141" customFormat="false" ht="13.5" hidden="false" customHeight="false" outlineLevel="0" collapsed="false">
      <c r="A141" s="1" t="n">
        <v>1006</v>
      </c>
      <c r="B141" s="1" t="e">
        <f aca="false">VLOOKUP($A141,統計!$A:$G,2,)</f>
        <v>#N/A</v>
      </c>
      <c r="C141" s="1" t="s">
        <v>381</v>
      </c>
      <c r="D141" s="1" t="e">
        <f aca="false">VLOOKUP($A141,統計!$A:$G,6,)</f>
        <v>#N/A</v>
      </c>
      <c r="E141" s="1" t="e">
        <f aca="false">VLOOKUP($A141,統計!$A:$G,7,)</f>
        <v>#N/A</v>
      </c>
      <c r="I141" s="1" t="e">
        <f aca="false">A141&amp;"|"&amp;"["&amp;B141&amp;"](9_筆記/资治通鉴"&amp;SUBSTITUTE(B141,"卷","")&amp;".html)|"&amp;C141&amp;"|"&amp;D141&amp;"|"&amp;E141&amp;"|"&amp;H141</f>
        <v>#N/A</v>
      </c>
    </row>
    <row r="142" customFormat="false" ht="13.5" hidden="false" customHeight="false" outlineLevel="0" collapsed="false">
      <c r="A142" s="1" t="n">
        <v>1007</v>
      </c>
      <c r="B142" s="1" t="e">
        <f aca="false">VLOOKUP($A142,統計!$A:$G,2,)</f>
        <v>#N/A</v>
      </c>
      <c r="C142" s="1" t="s">
        <v>382</v>
      </c>
      <c r="D142" s="1" t="e">
        <f aca="false">VLOOKUP($A142,統計!$A:$G,6,)</f>
        <v>#N/A</v>
      </c>
      <c r="E142" s="1" t="e">
        <f aca="false">VLOOKUP($A142,統計!$A:$G,7,)</f>
        <v>#N/A</v>
      </c>
      <c r="I142" s="1" t="e">
        <f aca="false">A142&amp;"|"&amp;"["&amp;B142&amp;"](9_筆記/资治通鉴"&amp;SUBSTITUTE(B142,"卷","")&amp;".html)|"&amp;C142&amp;"|"&amp;D142&amp;"|"&amp;E142&amp;"|"&amp;H142</f>
        <v>#N/A</v>
      </c>
    </row>
    <row r="143" customFormat="false" ht="13.5" hidden="false" customHeight="false" outlineLevel="0" collapsed="false">
      <c r="A143" s="1" t="n">
        <v>1008</v>
      </c>
      <c r="B143" s="1" t="e">
        <f aca="false">VLOOKUP($A143,統計!$A:$G,2,)</f>
        <v>#N/A</v>
      </c>
      <c r="C143" s="1" t="s">
        <v>383</v>
      </c>
      <c r="D143" s="1" t="e">
        <f aca="false">VLOOKUP($A143,統計!$A:$G,6,)</f>
        <v>#N/A</v>
      </c>
      <c r="E143" s="1" t="e">
        <f aca="false">VLOOKUP($A143,統計!$A:$G,7,)</f>
        <v>#N/A</v>
      </c>
      <c r="I143" s="1" t="e">
        <f aca="false">A143&amp;"|"&amp;"["&amp;B143&amp;"](9_筆記/资治通鉴"&amp;SUBSTITUTE(B143,"卷","")&amp;".html)|"&amp;C143&amp;"|"&amp;D143&amp;"|"&amp;E143&amp;"|"&amp;H143</f>
        <v>#N/A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2026-03-01T22:11:53Z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
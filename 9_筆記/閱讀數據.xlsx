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<sst xmlns="http://schemas.openxmlformats.org/spreadsheetml/2006/main" count="565" uniqueCount="559">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</sst>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67926815"/>
        <c:axId val="10022376"/>
      </c:scatterChart>
      <c:valAx>
        <c:axId val="6792681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0022376"/>
        <c:crosses val="autoZero"/>
        <c:crossBetween val="midCat"/>
      </c:valAx>
      <c:valAx>
        <c:axId val="10022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92681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645120</xdr:colOff>
      <xdr:row>24</xdr:row>
      <xdr:rowOff>203760</xdr:rowOff>
    </xdr:to>
    <xdr:graphicFrame>
      <xdr:nvGraphicFramePr>
        <xdr:cNvPr id="0" name="图表 3"/>
        <xdr:cNvGraphicFramePr/>
      </xdr:nvGraphicFramePr>
      <xdr:xfrm>
        <a:off x="7869960" y="2651760"/>
        <a:ext cx="4551840" cy="273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2" activePane="bottomLeft" state="frozen"/>
      <selection pane="topLeft" activeCell="A1" activeCellId="0" sqref="A1"/>
      <selection pane="bottomLeft" activeCell="I136" activeCellId="0" sqref="I136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789.197080291971</v>
      </c>
      <c r="P2" s="2" t="n">
        <f aca="false">$C$2+O2</f>
        <v>44808.197080292</v>
      </c>
      <c r="Q2" s="1" t="n">
        <f aca="false">(M2-$F$2)*$L$11</f>
        <v>1298.58594181149</v>
      </c>
      <c r="R2" s="2" t="n">
        <f aca="false">$C$2+Q2</f>
        <v>45317.5859418115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905.255474452555</v>
      </c>
      <c r="P3" s="2" t="n">
        <f aca="false">$C$2+O3</f>
        <v>44924.2554744526</v>
      </c>
      <c r="Q3" s="1" t="n">
        <f aca="false">(M3-$F$2)*$L$11</f>
        <v>1423.65039848675</v>
      </c>
      <c r="R3" s="2" t="n">
        <f aca="false">$C$2+Q3</f>
        <v>45442.6503984868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1369.48905109489</v>
      </c>
      <c r="P4" s="2" t="n">
        <f aca="false">$C$2+O4</f>
        <v>45388.4890510949</v>
      </c>
      <c r="Q4" s="1" t="n">
        <f aca="false">(M4-$F$2)*$L$11</f>
        <v>1715.46746406237</v>
      </c>
      <c r="R4" s="2" t="n">
        <f aca="false">$C$2+Q4</f>
        <v>45734.4674640624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2042.62773722628</v>
      </c>
      <c r="P5" s="2" t="n">
        <f aca="false">$C$2+O5</f>
        <v>46061.6277372263</v>
      </c>
      <c r="Q5" s="1" t="n">
        <f aca="false">(M5-$F$2)*$L$11</f>
        <v>2067.73235036436</v>
      </c>
      <c r="R5" s="2" t="n">
        <f aca="false">$C$2+Q5</f>
        <v>46086.7323503644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3075.54744525547</v>
      </c>
      <c r="P6" s="2" t="n">
        <f aca="false">$C$2+O6</f>
        <v>47094.5474452555</v>
      </c>
      <c r="Q6" s="1" t="n">
        <f aca="false">(M6-$F$2)*$L$11</f>
        <v>2730.57397074326</v>
      </c>
      <c r="R6" s="2" t="n">
        <f aca="false">$C$2+Q6</f>
        <v>46749.5739707433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3412.11678832117</v>
      </c>
      <c r="P7" s="2" t="n">
        <f aca="false">$C$2+O7</f>
        <v>47431.1167883212</v>
      </c>
      <c r="Q7" s="1" t="n">
        <f aca="false">(M7-$F$2)*$L$11</f>
        <v>2838.96316652849</v>
      </c>
      <c r="R7" s="2" t="n">
        <f aca="false">$C$2+Q7</f>
        <v>46857.9631665285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3412.11678832117</v>
      </c>
      <c r="P8" s="2" t="n">
        <f aca="false">$C$2+O8</f>
        <v>47431.1167883212</v>
      </c>
      <c r="Q8" s="1" t="n">
        <f aca="false">(M8-$F$2)*$L$11</f>
        <v>2838.96316652849</v>
      </c>
      <c r="R8" s="2" t="n">
        <f aca="false">$C$2+Q8</f>
        <v>46857.9631665285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11.6058394160584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2.0844076112544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7.15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3.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3.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3.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3.5" hidden="false" customHeight="false" outlineLevel="0" collapsed="false">
      <c r="A139" s="1" t="n">
        <v>1004</v>
      </c>
      <c r="B139" s="1" t="e">
        <f aca="false">VLOOKUP($A139,統計!$A:$G,2,)</f>
        <v>#N/A</v>
      </c>
      <c r="C139" s="1" t="s">
        <v>379</v>
      </c>
      <c r="D139" s="1" t="e">
        <f aca="false">VLOOKUP($A139,統計!$A:$G,6,)</f>
        <v>#N/A</v>
      </c>
      <c r="E139" s="1" t="e">
        <f aca="false">VLOOKUP($A139,統計!$A:$G,7,)</f>
        <v>#N/A</v>
      </c>
      <c r="I139" s="1" t="e">
        <f aca="false">A139&amp;"|"&amp;"["&amp;B139&amp;"](9_筆記/资治通鉴"&amp;SUBSTITUTE(B139,"卷","")&amp;".html)|"&amp;C139&amp;"|"&amp;D139&amp;"|"&amp;E139&amp;"|"&amp;H139</f>
        <v>#N/A</v>
      </c>
    </row>
    <row r="140" customFormat="false" ht="13.5" hidden="false" customHeight="false" outlineLevel="0" collapsed="false">
      <c r="A140" s="1" t="n">
        <v>1005</v>
      </c>
      <c r="B140" s="1" t="e">
        <f aca="false">VLOOKUP($A140,統計!$A:$G,2,)</f>
        <v>#N/A</v>
      </c>
      <c r="C140" s="1" t="s">
        <v>380</v>
      </c>
      <c r="D140" s="1" t="e">
        <f aca="false">VLOOKUP($A140,統計!$A:$G,6,)</f>
        <v>#N/A</v>
      </c>
      <c r="E140" s="1" t="e">
        <f aca="false">VLOOKUP($A140,統計!$A:$G,7,)</f>
        <v>#N/A</v>
      </c>
      <c r="I140" s="1" t="e">
        <f aca="false">A140&amp;"|"&amp;"["&amp;B140&amp;"](9_筆記/资治通鉴"&amp;SUBSTITUTE(B140,"卷","")&amp;".html)|"&amp;C140&amp;"|"&amp;D140&amp;"|"&amp;E140&amp;"|"&amp;H140</f>
        <v>#N/A</v>
      </c>
    </row>
    <row r="141" customFormat="false" ht="13.5" hidden="false" customHeight="false" outlineLevel="0" collapsed="false">
      <c r="A141" s="1" t="n">
        <v>1006</v>
      </c>
      <c r="B141" s="1" t="e">
        <f aca="false">VLOOKUP($A141,統計!$A:$G,2,)</f>
        <v>#N/A</v>
      </c>
      <c r="C141" s="1" t="s">
        <v>381</v>
      </c>
      <c r="D141" s="1" t="e">
        <f aca="false">VLOOKUP($A141,統計!$A:$G,6,)</f>
        <v>#N/A</v>
      </c>
      <c r="E141" s="1" t="e">
        <f aca="false">VLOOKUP($A141,統計!$A:$G,7,)</f>
        <v>#N/A</v>
      </c>
      <c r="I141" s="1" t="e">
        <f aca="false">A141&amp;"|"&amp;"["&amp;B141&amp;"](9_筆記/资治通鉴"&amp;SUBSTITUTE(B141,"卷","")&amp;".html)|"&amp;C141&amp;"|"&amp;D141&amp;"|"&amp;E141&amp;"|"&amp;H141</f>
        <v>#N/A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2026-02-21T12:39:55Z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
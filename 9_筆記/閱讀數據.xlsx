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<sst xmlns="http://schemas.openxmlformats.org/spreadsheetml/2006/main" count="565" uniqueCount="559">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</sst>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76972386"/>
        <c:axId val="47824912"/>
      </c:scatterChart>
      <c:valAx>
        <c:axId val="7697238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7824912"/>
        <c:crosses val="autoZero"/>
        <c:crossBetween val="midCat"/>
      </c:valAx>
      <c:valAx>
        <c:axId val="47824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697238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643680</xdr:colOff>
      <xdr:row>24</xdr:row>
      <xdr:rowOff>202320</xdr:rowOff>
    </xdr:to>
    <xdr:graphicFrame>
      <xdr:nvGraphicFramePr>
        <xdr:cNvPr id="0" name="图表 3"/>
        <xdr:cNvGraphicFramePr/>
      </xdr:nvGraphicFramePr>
      <xdr:xfrm>
        <a:off x="7869960" y="2651760"/>
        <a:ext cx="4550400" cy="273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8" activePane="bottomLeft" state="frozen"/>
      <selection pane="topLeft" activeCell="A1" activeCellId="0" sqref="A1"/>
      <selection pane="bottomLeft" activeCell="G143" activeCellId="0" sqref="G143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798.156028368794</v>
      </c>
      <c r="P2" s="2" t="n">
        <f aca="false">$C$2+O2</f>
        <v>44817.1560283688</v>
      </c>
      <c r="Q2" s="1" t="n">
        <f aca="false">(M2-$F$2)*$L$11</f>
        <v>1436.74354656248</v>
      </c>
      <c r="R2" s="2" t="n">
        <f aca="false">$C$2+Q2</f>
        <v>45455.7435465625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915.531914893617</v>
      </c>
      <c r="P3" s="2" t="n">
        <f aca="false">$C$2+O3</f>
        <v>44934.5319148936</v>
      </c>
      <c r="Q3" s="1" t="n">
        <f aca="false">(M3-$F$2)*$L$11</f>
        <v>1575.11371156047</v>
      </c>
      <c r="R3" s="2" t="n">
        <f aca="false">$C$2+Q3</f>
        <v>45594.1137115605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1385.03546099291</v>
      </c>
      <c r="P4" s="2" t="n">
        <f aca="false">$C$2+O4</f>
        <v>45404.0354609929</v>
      </c>
      <c r="Q4" s="1" t="n">
        <f aca="false">(M4-$F$2)*$L$11</f>
        <v>1897.97742988912</v>
      </c>
      <c r="R4" s="2" t="n">
        <f aca="false">$C$2+Q4</f>
        <v>45916.9774298891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2065.81560283688</v>
      </c>
      <c r="P5" s="2" t="n">
        <f aca="false">$C$2+O5</f>
        <v>46084.8156028369</v>
      </c>
      <c r="Q5" s="1" t="n">
        <f aca="false">(M5-$F$2)*$L$11</f>
        <v>2287.72006130013</v>
      </c>
      <c r="R5" s="2" t="n">
        <f aca="false">$C$2+Q5</f>
        <v>46306.7200613001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3110.4609929078</v>
      </c>
      <c r="P6" s="2" t="n">
        <f aca="false">$C$2+O6</f>
        <v>47129.4609929078</v>
      </c>
      <c r="Q6" s="1" t="n">
        <f aca="false">(M6-$F$2)*$L$11</f>
        <v>3021.08193578948</v>
      </c>
      <c r="R6" s="2" t="n">
        <f aca="false">$C$2+Q6</f>
        <v>47040.0819357895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3450.85106382979</v>
      </c>
      <c r="P7" s="2" t="n">
        <f aca="false">$C$2+O7</f>
        <v>47469.8510638298</v>
      </c>
      <c r="Q7" s="1" t="n">
        <f aca="false">(M7-$F$2)*$L$11</f>
        <v>3141.00274545441</v>
      </c>
      <c r="R7" s="2" t="n">
        <f aca="false">$C$2+Q7</f>
        <v>47160.0027454544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3450.85106382979</v>
      </c>
      <c r="P8" s="2" t="n">
        <f aca="false">$C$2+O8</f>
        <v>47469.8510638298</v>
      </c>
      <c r="Q8" s="1" t="n">
        <f aca="false">(M8-$F$2)*$L$11</f>
        <v>3141.00274545441</v>
      </c>
      <c r="R8" s="2" t="n">
        <f aca="false">$C$2+Q8</f>
        <v>47160.0027454544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11.7375886524823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2.30616941663319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1001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1002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  <row r="138" customFormat="false" ht="17.15" hidden="false" customHeight="false" outlineLevel="0" collapsed="false">
      <c r="A138" s="1" t="n">
        <v>1003</v>
      </c>
      <c r="B138" s="1" t="str">
        <f aca="false">"卷"&amp;ROW(B137)</f>
        <v>卷137</v>
      </c>
      <c r="C138" s="2" t="n">
        <f aca="false">D137+1</f>
        <v>46060</v>
      </c>
      <c r="D138" s="2" t="n">
        <v>46074</v>
      </c>
      <c r="E138" s="1" t="n">
        <f aca="false">D138-C138+1</f>
        <v>15</v>
      </c>
      <c r="F138" s="1" t="n">
        <f aca="false">G137+1</f>
        <v>490</v>
      </c>
      <c r="G138" s="1" t="n">
        <v>492</v>
      </c>
      <c r="H138" s="1" t="n">
        <f aca="false">IF(F138*G138&lt;0,ABS(F138)+ABS(G138),G138-F138+1)</f>
        <v>3</v>
      </c>
      <c r="I138" s="1" t="n">
        <f aca="false">E138/H138</f>
        <v>5</v>
      </c>
    </row>
    <row r="139" customFormat="false" ht="17.15" hidden="false" customHeight="false" outlineLevel="0" collapsed="false">
      <c r="A139" s="1" t="n">
        <v>1004</v>
      </c>
      <c r="B139" s="1" t="str">
        <f aca="false">"卷"&amp;ROW(B138)</f>
        <v>卷138</v>
      </c>
      <c r="C139" s="2" t="n">
        <v>46076</v>
      </c>
      <c r="D139" s="2" t="n">
        <v>46082</v>
      </c>
      <c r="E139" s="1" t="n">
        <f aca="false">D139-C139+1</f>
        <v>7</v>
      </c>
      <c r="F139" s="1" t="n">
        <f aca="false">G138+1</f>
        <v>493</v>
      </c>
      <c r="G139" s="1" t="n">
        <v>493</v>
      </c>
      <c r="H139" s="1" t="n">
        <f aca="false">IF(F139*G139&lt;0,ABS(F139)+ABS(G139),G139-F139+1)</f>
        <v>1</v>
      </c>
      <c r="I139" s="1" t="n">
        <f aca="false">E139/H139</f>
        <v>7</v>
      </c>
    </row>
    <row r="140" customFormat="false" ht="17.15" hidden="false" customHeight="false" outlineLevel="0" collapsed="false">
      <c r="A140" s="1" t="n">
        <v>1005</v>
      </c>
      <c r="B140" s="1" t="str">
        <f aca="false">"卷"&amp;ROW(B139)</f>
        <v>卷139</v>
      </c>
      <c r="C140" s="2" t="n">
        <f aca="false">D139+1</f>
        <v>46083</v>
      </c>
      <c r="D140" s="2" t="n">
        <v>46099</v>
      </c>
      <c r="E140" s="1" t="n">
        <f aca="false">D140-C140+1</f>
        <v>17</v>
      </c>
      <c r="F140" s="1" t="n">
        <f aca="false">G139+1</f>
        <v>494</v>
      </c>
      <c r="G140" s="1" t="n">
        <v>494</v>
      </c>
      <c r="H140" s="1" t="n">
        <f aca="false">IF(F140*G140&lt;0,ABS(F140)+ABS(G140),G140-F140+1)</f>
        <v>1</v>
      </c>
      <c r="I140" s="1" t="n">
        <f aca="false">E140/H140</f>
        <v>17</v>
      </c>
    </row>
    <row r="141" customFormat="false" ht="17.15" hidden="false" customHeight="false" outlineLevel="0" collapsed="false">
      <c r="A141" s="1" t="n">
        <v>1006</v>
      </c>
      <c r="B141" s="1" t="str">
        <f aca="false">"卷"&amp;ROW(B140)</f>
        <v>卷140</v>
      </c>
      <c r="C141" s="2" t="n">
        <v>46101</v>
      </c>
      <c r="D141" s="2" t="n">
        <v>46117</v>
      </c>
      <c r="E141" s="1" t="n">
        <f aca="false">D141-C141+1</f>
        <v>17</v>
      </c>
      <c r="F141" s="1" t="n">
        <f aca="false">G140+1</f>
        <v>495</v>
      </c>
      <c r="G141" s="1" t="n">
        <v>496</v>
      </c>
      <c r="H141" s="1" t="n">
        <f aca="false">IF(F141*G141&lt;0,ABS(F141)+ABS(G141),G141-F141+1)</f>
        <v>2</v>
      </c>
      <c r="I141" s="1" t="n">
        <f aca="false">E141/H141</f>
        <v>8.5</v>
      </c>
    </row>
    <row r="142" customFormat="false" ht="17.15" hidden="false" customHeight="false" outlineLevel="0" collapsed="false">
      <c r="A142" s="1" t="n">
        <v>1007</v>
      </c>
      <c r="B142" s="1" t="str">
        <f aca="false">"卷"&amp;ROW(B141)</f>
        <v>卷141</v>
      </c>
      <c r="C142" s="2" t="n">
        <v>46119</v>
      </c>
      <c r="D142" s="2" t="n">
        <v>46142</v>
      </c>
      <c r="E142" s="1" t="n">
        <f aca="false">D142-C142+1</f>
        <v>24</v>
      </c>
      <c r="F142" s="1" t="n">
        <f aca="false">G141+1</f>
        <v>497</v>
      </c>
      <c r="G142" s="1" t="n">
        <v>498</v>
      </c>
      <c r="H142" s="1" t="n">
        <f aca="false">IF(F142*G142&lt;0,ABS(F142)+ABS(G142),G142-F142+1)</f>
        <v>2</v>
      </c>
      <c r="I142" s="1" t="n">
        <f aca="false">E142/H142</f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3.8" hidden="false" customHeight="false" outlineLevel="0" collapsed="false">
      <c r="A135" s="1" t="n">
        <v>916</v>
      </c>
      <c r="B135" s="1" t="e">
        <f aca="false">VLOOKUP($A135,統計!$A:$G,2,)</f>
        <v>#N/A</v>
      </c>
      <c r="C135" s="1" t="s">
        <v>375</v>
      </c>
      <c r="D135" s="1" t="e">
        <f aca="false">VLOOKUP($A135,統計!$A:$G,6,)</f>
        <v>#N/A</v>
      </c>
      <c r="E135" s="1" t="e">
        <f aca="false">VLOOKUP($A135,統計!$A:$G,7,)</f>
        <v>#N/A</v>
      </c>
      <c r="I135" s="1" t="e">
        <f aca="false">A135&amp;"|"&amp;"["&amp;B135&amp;"](9_筆記/资治通鉴"&amp;SUBSTITUTE(B135,"卷","")&amp;".html)|"&amp;C135&amp;"|"&amp;D135&amp;"|"&amp;E135&amp;"|"&amp;H135</f>
        <v>#N/A</v>
      </c>
    </row>
    <row r="136" customFormat="false" ht="17.15" hidden="false" customHeight="false" outlineLevel="0" collapsed="false">
      <c r="A136" s="1" t="n">
        <v>1001</v>
      </c>
      <c r="B136" s="1" t="str">
        <f aca="false">VLOOKUP($A136,統計!$A:$G,2,)</f>
        <v>卷135</v>
      </c>
      <c r="C136" s="1" t="s">
        <v>376</v>
      </c>
      <c r="D136" s="1" t="n">
        <f aca="false">VLOOKUP($A136,統計!$A:$G,6,)</f>
        <v>479</v>
      </c>
      <c r="E136" s="1" t="n">
        <f aca="false">VLOOKUP($A136,統計!$A:$G,7,)</f>
        <v>483</v>
      </c>
      <c r="I136" s="1" t="str">
        <f aca="false">A136&amp;"|"&amp;"["&amp;B136&amp;"](9_筆記/资治通鉴"&amp;SUBSTITUTE(B136,"卷","")&amp;".html)|"&amp;C136&amp;"|"&amp;D136&amp;"|"&amp;E136&amp;"|"&amp;H136</f>
        <v>1001|[卷135](9_筆記/资治通鉴135.html)|齊紀一|479|483|</v>
      </c>
    </row>
    <row r="137" customFormat="false" ht="17.15" hidden="false" customHeight="false" outlineLevel="0" collapsed="false">
      <c r="A137" s="1" t="n">
        <v>1002</v>
      </c>
      <c r="B137" s="1" t="str">
        <f aca="false">VLOOKUP($A137,統計!$A:$G,2,)</f>
        <v>卷136</v>
      </c>
      <c r="C137" s="1" t="s">
        <v>377</v>
      </c>
      <c r="D137" s="1" t="n">
        <f aca="false">VLOOKUP($A137,統計!$A:$G,6,)</f>
        <v>484</v>
      </c>
      <c r="E137" s="1" t="n">
        <f aca="false">VLOOKUP($A137,統計!$A:$G,7,)</f>
        <v>489</v>
      </c>
      <c r="I137" s="1" t="str">
        <f aca="false">A137&amp;"|"&amp;"["&amp;B137&amp;"](9_筆記/资治通鉴"&amp;SUBSTITUTE(B137,"卷","")&amp;".html)|"&amp;C137&amp;"|"&amp;D137&amp;"|"&amp;E137&amp;"|"&amp;H137</f>
        <v>1002|[卷136](9_筆記/资治通鉴136.html)|齊紀二|484|489|</v>
      </c>
    </row>
    <row r="138" customFormat="false" ht="17.15" hidden="false" customHeight="false" outlineLevel="0" collapsed="false">
      <c r="A138" s="1" t="n">
        <v>1003</v>
      </c>
      <c r="B138" s="1" t="str">
        <f aca="false">VLOOKUP($A138,統計!$A:$G,2,)</f>
        <v>卷137</v>
      </c>
      <c r="C138" s="1" t="s">
        <v>378</v>
      </c>
      <c r="D138" s="1" t="n">
        <f aca="false">VLOOKUP($A138,統計!$A:$G,6,)</f>
        <v>490</v>
      </c>
      <c r="E138" s="1" t="n">
        <f aca="false">VLOOKUP($A138,統計!$A:$G,7,)</f>
        <v>492</v>
      </c>
      <c r="I138" s="1" t="str">
        <f aca="false">A138&amp;"|"&amp;"["&amp;B138&amp;"](9_筆記/资治通鉴"&amp;SUBSTITUTE(B138,"卷","")&amp;".html)|"&amp;C138&amp;"|"&amp;D138&amp;"|"&amp;E138&amp;"|"&amp;H138</f>
        <v>1003|[卷137](9_筆記/资治通鉴137.html)|齊紀三|490|492|</v>
      </c>
    </row>
    <row r="139" customFormat="false" ht="17.15" hidden="false" customHeight="false" outlineLevel="0" collapsed="false">
      <c r="A139" s="1" t="n">
        <v>1004</v>
      </c>
      <c r="B139" s="1" t="str">
        <f aca="false">VLOOKUP($A139,統計!$A:$G,2,)</f>
        <v>卷138</v>
      </c>
      <c r="C139" s="1" t="s">
        <v>379</v>
      </c>
      <c r="D139" s="1" t="n">
        <f aca="false">VLOOKUP($A139,統計!$A:$G,6,)</f>
        <v>493</v>
      </c>
      <c r="E139" s="1" t="n">
        <f aca="false">VLOOKUP($A139,統計!$A:$G,7,)</f>
        <v>493</v>
      </c>
      <c r="I139" s="1" t="str">
        <f aca="false">A139&amp;"|"&amp;"["&amp;B139&amp;"](9_筆記/资治通鉴"&amp;SUBSTITUTE(B139,"卷","")&amp;".html)|"&amp;C139&amp;"|"&amp;D139&amp;"|"&amp;E139&amp;"|"&amp;H139</f>
        <v>1004|[卷138](9_筆記/资治通鉴138.html)|齊紀四|493|493|</v>
      </c>
    </row>
    <row r="140" customFormat="false" ht="17.15" hidden="false" customHeight="false" outlineLevel="0" collapsed="false">
      <c r="A140" s="1" t="n">
        <v>1005</v>
      </c>
      <c r="B140" s="1" t="str">
        <f aca="false">VLOOKUP($A140,統計!$A:$G,2,)</f>
        <v>卷139</v>
      </c>
      <c r="C140" s="1" t="s">
        <v>380</v>
      </c>
      <c r="D140" s="1" t="n">
        <f aca="false">VLOOKUP($A140,統計!$A:$G,6,)</f>
        <v>494</v>
      </c>
      <c r="E140" s="1" t="n">
        <f aca="false">VLOOKUP($A140,統計!$A:$G,7,)</f>
        <v>494</v>
      </c>
      <c r="I140" s="1" t="str">
        <f aca="false">A140&amp;"|"&amp;"["&amp;B140&amp;"](9_筆記/资治通鉴"&amp;SUBSTITUTE(B140,"卷","")&amp;".html)|"&amp;C140&amp;"|"&amp;D140&amp;"|"&amp;E140&amp;"|"&amp;H140</f>
        <v>1005|[卷139](9_筆記/资治通鉴139.html)|齊紀五|494|494|</v>
      </c>
    </row>
    <row r="141" customFormat="false" ht="17.15" hidden="false" customHeight="false" outlineLevel="0" collapsed="false">
      <c r="A141" s="1" t="n">
        <v>1006</v>
      </c>
      <c r="B141" s="1" t="str">
        <f aca="false">VLOOKUP($A141,統計!$A:$G,2,)</f>
        <v>卷140</v>
      </c>
      <c r="C141" s="1" t="s">
        <v>381</v>
      </c>
      <c r="D141" s="1" t="n">
        <f aca="false">VLOOKUP($A141,統計!$A:$G,6,)</f>
        <v>495</v>
      </c>
      <c r="E141" s="1" t="n">
        <f aca="false">VLOOKUP($A141,統計!$A:$G,7,)</f>
        <v>496</v>
      </c>
      <c r="I141" s="1" t="str">
        <f aca="false">A141&amp;"|"&amp;"["&amp;B141&amp;"](9_筆記/资治通鉴"&amp;SUBSTITUTE(B141,"卷","")&amp;".html)|"&amp;C141&amp;"|"&amp;D141&amp;"|"&amp;E141&amp;"|"&amp;H141</f>
        <v>1006|[卷140](9_筆記/资治通鉴140.html)|齊紀六|495|496|</v>
      </c>
    </row>
    <row r="142" customFormat="false" ht="13.5" hidden="false" customHeight="false" outlineLevel="0" collapsed="false">
      <c r="A142" s="1" t="n">
        <v>1007</v>
      </c>
      <c r="B142" s="1" t="str">
        <f aca="false">VLOOKUP($A142,統計!$A:$G,2,)</f>
        <v>卷141</v>
      </c>
      <c r="C142" s="1" t="s">
        <v>382</v>
      </c>
      <c r="D142" s="1" t="n">
        <f aca="false">VLOOKUP($A142,統計!$A:$G,6,)</f>
        <v>497</v>
      </c>
      <c r="E142" s="1" t="n">
        <f aca="false">VLOOKUP($A142,統計!$A:$G,7,)</f>
        <v>498</v>
      </c>
      <c r="I142" s="1" t="str">
        <f aca="false">A142&amp;"|"&amp;"["&amp;B142&amp;"](9_筆記/资治通鉴"&amp;SUBSTITUTE(B142,"卷","")&amp;".html)|"&amp;C142&amp;"|"&amp;D142&amp;"|"&amp;E142&amp;"|"&amp;H142</f>
        <v>1007|[卷141](9_筆記/资治通鉴141.html)|齊紀七|497|498|</v>
      </c>
    </row>
    <row r="143" customFormat="false" ht="13.5" hidden="false" customHeight="false" outlineLevel="0" collapsed="false">
      <c r="A143" s="1" t="n">
        <v>1008</v>
      </c>
      <c r="B143" s="1" t="e">
        <f aca="false">VLOOKUP($A143,統計!$A:$G,2,)</f>
        <v>#N/A</v>
      </c>
      <c r="C143" s="1" t="s">
        <v>383</v>
      </c>
      <c r="D143" s="1" t="e">
        <f aca="false">VLOOKUP($A143,統計!$A:$G,6,)</f>
        <v>#N/A</v>
      </c>
      <c r="E143" s="1" t="e">
        <f aca="false">VLOOKUP($A143,統計!$A:$G,7,)</f>
        <v>#N/A</v>
      </c>
      <c r="I143" s="1" t="e">
        <f aca="false">A143&amp;"|"&amp;"["&amp;B143&amp;"](9_筆記/资治通鉴"&amp;SUBSTITUTE(B143,"卷","")&amp;".html)|"&amp;C143&amp;"|"&amp;D143&amp;"|"&amp;E143&amp;"|"&amp;H143</f>
        <v>#N/A</v>
      </c>
    </row>
    <row r="144" customFormat="false" ht="13.5" hidden="false" customHeight="false" outlineLevel="0" collapsed="false">
      <c r="A144" s="1" t="n">
        <v>1009</v>
      </c>
      <c r="B144" s="1" t="e">
        <f aca="false">VLOOKUP($A144,統計!$A:$G,2,)</f>
        <v>#N/A</v>
      </c>
      <c r="C144" s="1" t="s">
        <v>384</v>
      </c>
      <c r="D144" s="1" t="e">
        <f aca="false">VLOOKUP($A144,統計!$A:$G,6,)</f>
        <v>#N/A</v>
      </c>
      <c r="E144" s="1" t="e">
        <f aca="false">VLOOKUP($A144,統計!$A:$G,7,)</f>
        <v>#N/A</v>
      </c>
      <c r="I144" s="1" t="e">
        <f aca="false">A144&amp;"|"&amp;"["&amp;B144&amp;"](9_筆記/资治通鉴"&amp;SUBSTITUTE(B144,"卷","")&amp;".html)|"&amp;C144&amp;"|"&amp;D144&amp;"|"&amp;E144&amp;"|"&amp;H144</f>
        <v>#N/A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2026-04-30T19:55:10Z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
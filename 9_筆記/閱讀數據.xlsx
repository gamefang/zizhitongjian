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<sst xmlns="http://schemas.openxmlformats.org/spreadsheetml/2006/main" count="565" uniqueCount="559">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</sst>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17214200"/>
        <c:axId val="51105084"/>
      </c:scatterChart>
      <c:valAx>
        <c:axId val="1721420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1105084"/>
        <c:crosses val="autoZero"/>
        <c:crossBetween val="midCat"/>
      </c:valAx>
      <c:valAx>
        <c:axId val="511050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721420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644040</xdr:colOff>
      <xdr:row>24</xdr:row>
      <xdr:rowOff>202680</xdr:rowOff>
    </xdr:to>
    <xdr:graphicFrame>
      <xdr:nvGraphicFramePr>
        <xdr:cNvPr id="0" name="图表 3"/>
        <xdr:cNvGraphicFramePr/>
      </xdr:nvGraphicFramePr>
      <xdr:xfrm>
        <a:off x="7869960" y="2651760"/>
        <a:ext cx="455076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3" activePane="bottomLeft" state="frozen"/>
      <selection pane="topLeft" activeCell="A1" activeCellId="0" sqref="A1"/>
      <selection pane="bottomLeft" activeCell="B141" activeCellId="0" sqref="B141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792.2</v>
      </c>
      <c r="P2" s="2" t="n">
        <f aca="false">$C$2+O2</f>
        <v>44811.2</v>
      </c>
      <c r="Q2" s="1" t="n">
        <f aca="false">(M2-$F$2)*$L$11</f>
        <v>1399.04908022303</v>
      </c>
      <c r="R2" s="2" t="n">
        <f aca="false">$C$2+Q2</f>
        <v>45418.049080223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908.7</v>
      </c>
      <c r="P3" s="2" t="n">
        <f aca="false">$C$2+O3</f>
        <v>44927.7</v>
      </c>
      <c r="Q3" s="1" t="n">
        <f aca="false">(M3-$F$2)*$L$11</f>
        <v>1533.78895953825</v>
      </c>
      <c r="R3" s="2" t="n">
        <f aca="false">$C$2+Q3</f>
        <v>45552.7889595383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1374.7</v>
      </c>
      <c r="P4" s="2" t="n">
        <f aca="false">$C$2+O4</f>
        <v>45393.7</v>
      </c>
      <c r="Q4" s="1" t="n">
        <f aca="false">(M4-$F$2)*$L$11</f>
        <v>1848.18201127377</v>
      </c>
      <c r="R4" s="2" t="n">
        <f aca="false">$C$2+Q4</f>
        <v>45867.1820112738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2050.4</v>
      </c>
      <c r="P5" s="2" t="n">
        <f aca="false">$C$2+O5</f>
        <v>46069.4</v>
      </c>
      <c r="Q5" s="1" t="n">
        <f aca="false">(M5-$F$2)*$L$11</f>
        <v>2227.69933801163</v>
      </c>
      <c r="R5" s="2" t="n">
        <f aca="false">$C$2+Q5</f>
        <v>46246.6993380116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3087.25</v>
      </c>
      <c r="P6" s="2" t="n">
        <f aca="false">$C$2+O6</f>
        <v>47106.25</v>
      </c>
      <c r="Q6" s="1" t="n">
        <f aca="false">(M6-$F$2)*$L$11</f>
        <v>2941.8206983823</v>
      </c>
      <c r="R6" s="2" t="n">
        <f aca="false">$C$2+Q6</f>
        <v>46960.8206983823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3425.1</v>
      </c>
      <c r="P7" s="2" t="n">
        <f aca="false">$C$2+O7</f>
        <v>47444.1</v>
      </c>
      <c r="Q7" s="1" t="n">
        <f aca="false">(M7-$F$2)*$L$11</f>
        <v>3058.59526045549</v>
      </c>
      <c r="R7" s="2" t="n">
        <f aca="false">$C$2+Q7</f>
        <v>47077.5952604555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3425.1</v>
      </c>
      <c r="P8" s="2" t="n">
        <f aca="false">$C$2+O8</f>
        <v>47444.1</v>
      </c>
      <c r="Q8" s="1" t="n">
        <f aca="false">(M8-$F$2)*$L$11</f>
        <v>3058.59526045549</v>
      </c>
      <c r="R8" s="2" t="n">
        <f aca="false">$C$2+Q8</f>
        <v>47077.5952604555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11.65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2.24566465525366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  <row r="141" customFormat="false" ht="17.15" hidden="false" customHeight="false" outlineLevel="0" collapsed="false">
      <c r="A141" s="1" t="n">
        <v>1006</v>
      </c>
      <c r="B141" s="1" t="str">
        <f aca="false">"卷"&amp;ROW(B140)</f>
        <v>卷140</v>
      </c>
      <c r="C141" s="2" t="n">
        <v>46101</v>
      </c>
      <c r="D141" s="2" t="n">
        <v>46117</v>
      </c>
      <c r="E141" s="1" t="n">
        <f aca="false">D141-C141+1</f>
        <v>17</v>
      </c>
      <c r="F141" s="1" t="n">
        <f aca="false">G140+1</f>
        <v>495</v>
      </c>
      <c r="G141" s="1" t="n">
        <v>496</v>
      </c>
      <c r="H141" s="1" t="n">
        <f aca="false">IF(F141*G141&lt;0,ABS(F141)+ABS(G141),G141-F141+1)</f>
        <v>2</v>
      </c>
      <c r="I141" s="1" t="n">
        <f aca="false">E141/H141</f>
        <v>8.5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7.1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3.5" hidden="false" customHeight="false" outlineLevel="0" collapsed="false">
      <c r="A141" s="1" t="n">
        <v>1006</v>
      </c>
      <c r="B141" s="1" t="str">
        <f aca="false">VLOOKUP($A141,統計!$A:$G,2,)</f>
        <v>卷140</v>
      </c>
      <c r="C141" s="1" t="s">
        <v>381</v>
      </c>
      <c r="D141" s="1" t="n">
        <f aca="false">VLOOKUP($A141,統計!$A:$G,6,)</f>
        <v>495</v>
      </c>
      <c r="E141" s="1" t="n">
        <f aca="false">VLOOKUP($A141,統計!$A:$G,7,)</f>
        <v>496</v>
      </c>
      <c r="I141" s="1" t="str">
        <f aca="false">A141&amp;"|"&amp;"["&amp;B141&amp;"](9_筆記/资治通鉴"&amp;SUBSTITUTE(B141,"卷","")&amp;".html)|"&amp;C141&amp;"|"&amp;D141&amp;"|"&amp;E141&amp;"|"&amp;H141</f>
        <v>1006|[卷140](9_筆記/资治通鉴140.html)|齊紀六|495|496|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2026-04-04T22:28:29Z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
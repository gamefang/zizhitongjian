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<sst xmlns="http://schemas.openxmlformats.org/spreadsheetml/2006/main" count="565" uniqueCount="559">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</sst>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10641576"/>
        <c:axId val="13117452"/>
      </c:scatterChart>
      <c:valAx>
        <c:axId val="1064157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117452"/>
        <c:crosses val="autoZero"/>
        <c:crossBetween val="midCat"/>
      </c:valAx>
      <c:valAx>
        <c:axId val="131174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06415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642960</xdr:colOff>
      <xdr:row>24</xdr:row>
      <xdr:rowOff>201600</xdr:rowOff>
    </xdr:to>
    <xdr:graphicFrame>
      <xdr:nvGraphicFramePr>
        <xdr:cNvPr id="0" name="图表 3"/>
        <xdr:cNvGraphicFramePr/>
      </xdr:nvGraphicFramePr>
      <xdr:xfrm>
        <a:off x="7869960" y="2651760"/>
        <a:ext cx="4549680" cy="2734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7" activePane="bottomLeft" state="frozen"/>
      <selection pane="topLeft" activeCell="A1" activeCellId="0" sqref="A1"/>
      <selection pane="bottomLeft" activeCell="G144" activeCellId="0" sqref="G144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811.72027972028</v>
      </c>
      <c r="P2" s="2" t="n">
        <f aca="false">$C$2+O2</f>
        <v>44830.7202797203</v>
      </c>
      <c r="Q2" s="1" t="n">
        <f aca="false">(M2-$F$2)*$L$11</f>
        <v>1664.24609118769</v>
      </c>
      <c r="R2" s="2" t="n">
        <f aca="false">$C$2+Q2</f>
        <v>45683.2460911877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931.090909090909</v>
      </c>
      <c r="P3" s="2" t="n">
        <f aca="false">$C$2+O3</f>
        <v>44950.0909090909</v>
      </c>
      <c r="Q3" s="1" t="n">
        <f aca="false">(M3-$F$2)*$L$11</f>
        <v>1824.52661361347</v>
      </c>
      <c r="R3" s="2" t="n">
        <f aca="false">$C$2+Q3</f>
        <v>45843.5266136135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1408.57342657343</v>
      </c>
      <c r="P4" s="2" t="n">
        <f aca="false">$C$2+O4</f>
        <v>45427.5734265734</v>
      </c>
      <c r="Q4" s="1" t="n">
        <f aca="false">(M4-$F$2)*$L$11</f>
        <v>2198.51449927362</v>
      </c>
      <c r="R4" s="2" t="n">
        <f aca="false">$C$2+Q4</f>
        <v>46217.5144992736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2100.92307692308</v>
      </c>
      <c r="P5" s="2" t="n">
        <f aca="false">$C$2+O5</f>
        <v>46119.9230769231</v>
      </c>
      <c r="Q5" s="1" t="n">
        <f aca="false">(M5-$F$2)*$L$11</f>
        <v>2649.97130410624</v>
      </c>
      <c r="R5" s="2" t="n">
        <f aca="false">$C$2+Q5</f>
        <v>46668.9713041062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3163.32167832168</v>
      </c>
      <c r="P6" s="2" t="n">
        <f aca="false">$C$2+O6</f>
        <v>47182.3216783217</v>
      </c>
      <c r="Q6" s="1" t="n">
        <f aca="false">(M6-$F$2)*$L$11</f>
        <v>3499.45807296288</v>
      </c>
      <c r="R6" s="2" t="n">
        <f aca="false">$C$2+Q6</f>
        <v>47518.4580729629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3509.4965034965</v>
      </c>
      <c r="P7" s="2" t="n">
        <f aca="false">$C$2+O7</f>
        <v>47528.4965034965</v>
      </c>
      <c r="Q7" s="1" t="n">
        <f aca="false">(M7-$F$2)*$L$11</f>
        <v>3638.36785906522</v>
      </c>
      <c r="R7" s="2" t="n">
        <f aca="false">$C$2+Q7</f>
        <v>47657.3678590652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3509.4965034965</v>
      </c>
      <c r="P8" s="2" t="n">
        <f aca="false">$C$2+O8</f>
        <v>47528.4965034965</v>
      </c>
      <c r="Q8" s="1" t="n">
        <f aca="false">(M8-$F$2)*$L$11</f>
        <v>3638.36785906522</v>
      </c>
      <c r="R8" s="2" t="n">
        <f aca="false">$C$2+Q8</f>
        <v>47657.3678590652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11.9370629370629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2.67134204042968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  <row r="141" customFormat="false" ht="17.15" hidden="false" customHeight="false" outlineLevel="0" collapsed="false">
      <c r="A141" s="1" t="n">
        <v>1006</v>
      </c>
      <c r="B141" s="1" t="str">
        <f aca="false">"卷"&amp;ROW(B140)</f>
        <v>卷140</v>
      </c>
      <c r="C141" s="2" t="n">
        <v>46101</v>
      </c>
      <c r="D141" s="2" t="n">
        <v>46117</v>
      </c>
      <c r="E141" s="1" t="n">
        <f aca="false">D141-C141+1</f>
        <v>17</v>
      </c>
      <c r="F141" s="1" t="n">
        <f aca="false">G140+1</f>
        <v>495</v>
      </c>
      <c r="G141" s="1" t="n">
        <v>496</v>
      </c>
      <c r="H141" s="1" t="n">
        <f aca="false">IF(F141*G141&lt;0,ABS(F141)+ABS(G141),G141-F141+1)</f>
        <v>2</v>
      </c>
      <c r="I141" s="1" t="n">
        <f aca="false">E141/H141</f>
        <v>8.5</v>
      </c>
    </row>
    <row r="142" customFormat="false" ht="17.15" hidden="false" customHeight="false" outlineLevel="0" collapsed="false">
      <c r="A142" s="1" t="n">
        <v>1007</v>
      </c>
      <c r="B142" s="1" t="str">
        <f aca="false">"卷"&amp;ROW(B141)</f>
        <v>卷141</v>
      </c>
      <c r="C142" s="2" t="n">
        <v>46119</v>
      </c>
      <c r="D142" s="2" t="n">
        <v>46142</v>
      </c>
      <c r="E142" s="1" t="n">
        <f aca="false">D142-C142+1</f>
        <v>24</v>
      </c>
      <c r="F142" s="1" t="n">
        <f aca="false">G141+1</f>
        <v>497</v>
      </c>
      <c r="G142" s="1" t="n">
        <v>498</v>
      </c>
      <c r="H142" s="1" t="n">
        <f aca="false">IF(F142*G142&lt;0,ABS(F142)+ABS(G142),G142-F142+1)</f>
        <v>2</v>
      </c>
      <c r="I142" s="1" t="n">
        <f aca="false">E142/H142</f>
        <v>12</v>
      </c>
    </row>
    <row r="143" customFormat="false" ht="17.15" hidden="false" customHeight="false" outlineLevel="0" collapsed="false">
      <c r="A143" s="1" t="n">
        <v>1008</v>
      </c>
      <c r="B143" s="1" t="str">
        <f aca="false">"卷"&amp;ROW(B142)</f>
        <v>卷142</v>
      </c>
      <c r="C143" s="2" t="n">
        <v>46142</v>
      </c>
      <c r="D143" s="2" t="n">
        <v>46180</v>
      </c>
      <c r="E143" s="1" t="n">
        <f aca="false">D143-C143+1</f>
        <v>39</v>
      </c>
      <c r="F143" s="1" t="n">
        <f aca="false">G142+1</f>
        <v>499</v>
      </c>
      <c r="G143" s="1" t="n">
        <v>499</v>
      </c>
      <c r="H143" s="1" t="n">
        <f aca="false">IF(F143*G143&lt;0,ABS(F143)+ABS(G143),G143-F143+1)</f>
        <v>1</v>
      </c>
      <c r="I143" s="1" t="n">
        <f aca="false">E143/H143</f>
        <v>39</v>
      </c>
    </row>
    <row r="144" customFormat="false" ht="17.15" hidden="false" customHeight="false" outlineLevel="0" collapsed="false">
      <c r="A144" s="1" t="n">
        <v>1009</v>
      </c>
      <c r="B144" s="1" t="str">
        <f aca="false">"卷"&amp;ROW(B143)</f>
        <v>卷143</v>
      </c>
      <c r="C144" s="2" t="n">
        <v>46182</v>
      </c>
      <c r="D144" s="2" t="n">
        <v>46194</v>
      </c>
      <c r="E144" s="1" t="n">
        <f aca="false">D144-C144+1</f>
        <v>13</v>
      </c>
      <c r="F144" s="1" t="n">
        <f aca="false">G143+1</f>
        <v>500</v>
      </c>
      <c r="G144" s="1" t="n">
        <v>500</v>
      </c>
      <c r="H144" s="1" t="n">
        <f aca="false">IF(F144*G144&lt;0,ABS(F144)+ABS(G144),G144-F144+1)</f>
        <v>1</v>
      </c>
      <c r="I144" s="1" t="n">
        <f aca="false">E144/H144</f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7.1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7.15" hidden="false" customHeight="false" outlineLevel="0" collapsed="false">
      <c r="A141" s="1" t="n">
        <v>1006</v>
      </c>
      <c r="B141" s="1" t="str">
        <f aca="false">VLOOKUP($A141,統計!$A:$G,2,)</f>
        <v>卷140</v>
      </c>
      <c r="C141" s="1" t="s">
        <v>381</v>
      </c>
      <c r="D141" s="1" t="n">
        <f aca="false">VLOOKUP($A141,統計!$A:$G,6,)</f>
        <v>495</v>
      </c>
      <c r="E141" s="1" t="n">
        <f aca="false">VLOOKUP($A141,統計!$A:$G,7,)</f>
        <v>496</v>
      </c>
      <c r="I141" s="1" t="str">
        <f aca="false">A141&amp;"|"&amp;"["&amp;B141&amp;"](9_筆記/资治通鉴"&amp;SUBSTITUTE(B141,"卷","")&amp;".html)|"&amp;C141&amp;"|"&amp;D141&amp;"|"&amp;E141&amp;"|"&amp;H141</f>
        <v>1006|[卷140](9_筆記/资治通鉴140.html)|齊紀六|495|496|</v>
      </c>
    </row>
    <row r="142" customFormat="false" ht="17.15" hidden="false" customHeight="false" outlineLevel="0" collapsed="false">
      <c r="A142" s="1" t="n">
        <v>1007</v>
      </c>
      <c r="B142" s="1" t="str">
        <f aca="false">VLOOKUP($A142,統計!$A:$G,2,)</f>
        <v>卷141</v>
      </c>
      <c r="C142" s="1" t="s">
        <v>382</v>
      </c>
      <c r="D142" s="1" t="n">
        <f aca="false">VLOOKUP($A142,統計!$A:$G,6,)</f>
        <v>497</v>
      </c>
      <c r="E142" s="1" t="n">
        <f aca="false">VLOOKUP($A142,統計!$A:$G,7,)</f>
        <v>498</v>
      </c>
      <c r="I142" s="1" t="str">
        <f aca="false">A142&amp;"|"&amp;"["&amp;B142&amp;"](9_筆記/资治通鉴"&amp;SUBSTITUTE(B142,"卷","")&amp;".html)|"&amp;C142&amp;"|"&amp;D142&amp;"|"&amp;E142&amp;"|"&amp;H142</f>
        <v>1007|[卷141](9_筆記/资治通鉴141.html)|齊紀七|497|498|</v>
      </c>
    </row>
    <row r="143" customFormat="false" ht="17.15" hidden="false" customHeight="false" outlineLevel="0" collapsed="false">
      <c r="A143" s="1" t="n">
        <v>1008</v>
      </c>
      <c r="B143" s="1" t="str">
        <f aca="false">VLOOKUP($A143,統計!$A:$G,2,)</f>
        <v>卷142</v>
      </c>
      <c r="C143" s="1" t="s">
        <v>383</v>
      </c>
      <c r="D143" s="1" t="n">
        <f aca="false">VLOOKUP($A143,統計!$A:$G,6,)</f>
        <v>499</v>
      </c>
      <c r="E143" s="1" t="n">
        <f aca="false">VLOOKUP($A143,統計!$A:$G,7,)</f>
        <v>499</v>
      </c>
      <c r="I143" s="1" t="str">
        <f aca="false">A143&amp;"|"&amp;"["&amp;B143&amp;"](9_筆記/资治通鉴"&amp;SUBSTITUTE(B143,"卷","")&amp;".html)|"&amp;C143&amp;"|"&amp;D143&amp;"|"&amp;E143&amp;"|"&amp;H143</f>
        <v>1008|[卷142](9_筆記/资治通鉴142.html)|齊紀八|499|499|</v>
      </c>
    </row>
    <row r="144" customFormat="false" ht="13.5" hidden="false" customHeight="false" outlineLevel="0" collapsed="false">
      <c r="A144" s="1" t="n">
        <v>1009</v>
      </c>
      <c r="B144" s="1" t="str">
        <f aca="false">VLOOKUP($A144,統計!$A:$G,2,)</f>
        <v>卷143</v>
      </c>
      <c r="C144" s="1" t="s">
        <v>384</v>
      </c>
      <c r="D144" s="1" t="n">
        <f aca="false">VLOOKUP($A144,統計!$A:$G,6,)</f>
        <v>500</v>
      </c>
      <c r="E144" s="1" t="n">
        <f aca="false">VLOOKUP($A144,統計!$A:$G,7,)</f>
        <v>500</v>
      </c>
      <c r="I144" s="1" t="str">
        <f aca="false">A144&amp;"|"&amp;"["&amp;B144&amp;"](9_筆記/资治通鉴"&amp;SUBSTITUTE(B144,"卷","")&amp;".html)|"&amp;C144&amp;"|"&amp;D144&amp;"|"&amp;E144&amp;"|"&amp;H144</f>
        <v>1009|[卷143](9_筆記/资治通鉴143.html)|齊紀九|500|500|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2026-06-21T13:22:08Z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